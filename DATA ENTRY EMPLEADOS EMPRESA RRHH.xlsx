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wwes\OneDrive\DON'T TOUCH\EXCEL EXERCISE =)\"/>
    </mc:Choice>
  </mc:AlternateContent>
  <bookViews>
    <workbookView xWindow="0" yWindow="0" windowWidth="23040" windowHeight="9780"/>
  </bookViews>
  <sheets>
    <sheet name="Empleados" sheetId="1" r:id="rId1"/>
    <sheet name="Resumen por Depto" sheetId="2" r:id="rId2"/>
  </sheets>
  <calcPr calcId="162913"/>
</workbook>
</file>

<file path=xl/calcChain.xml><?xml version="1.0" encoding="utf-8"?>
<calcChain xmlns="http://schemas.openxmlformats.org/spreadsheetml/2006/main">
  <c r="O42" i="1" l="1"/>
  <c r="N42" i="1"/>
  <c r="F42" i="1"/>
</calcChain>
</file>

<file path=xl/sharedStrings.xml><?xml version="1.0" encoding="utf-8"?>
<sst xmlns="http://schemas.openxmlformats.org/spreadsheetml/2006/main" count="468" uniqueCount="280">
  <si>
    <t>ID Empleado</t>
  </si>
  <si>
    <t>Nombre</t>
  </si>
  <si>
    <t>Apellido</t>
  </si>
  <si>
    <t>Género</t>
  </si>
  <si>
    <t>Fecha Nacimiento</t>
  </si>
  <si>
    <t>Edad</t>
  </si>
  <si>
    <t>DNI / Cédula</t>
  </si>
  <si>
    <t>Correo Electrónico</t>
  </si>
  <si>
    <t>Teléfono</t>
  </si>
  <si>
    <t>Departamento</t>
  </si>
  <si>
    <t>Cargo</t>
  </si>
  <si>
    <t>Tipo Contrato</t>
  </si>
  <si>
    <t>Fecha Ingreso</t>
  </si>
  <si>
    <t>Antigüedad (años)</t>
  </si>
  <si>
    <t>Salario Mensual (RD$)</t>
  </si>
  <si>
    <t>Estado</t>
  </si>
  <si>
    <t>EMP-1001</t>
  </si>
  <si>
    <t>Carlos</t>
  </si>
  <si>
    <t>Flores Torres</t>
  </si>
  <si>
    <t>Masculino</t>
  </si>
  <si>
    <t>001-2719583-8</t>
  </si>
  <si>
    <t>carlos.flores@empresa.com.do</t>
  </si>
  <si>
    <t>(809) 289-7912</t>
  </si>
  <si>
    <t>Administración</t>
  </si>
  <si>
    <t>Gerente Administrativo</t>
  </si>
  <si>
    <t>Indefinido</t>
  </si>
  <si>
    <t>Activo</t>
  </si>
  <si>
    <t>EMP-1002</t>
  </si>
  <si>
    <t>Francisco</t>
  </si>
  <si>
    <t>Ramírez Ramos</t>
  </si>
  <si>
    <t>001-8536477-9</t>
  </si>
  <si>
    <t>francisco.ramírez@empresa.com.do</t>
  </si>
  <si>
    <t>(809) 484-1106</t>
  </si>
  <si>
    <t>Recursos Humanos</t>
  </si>
  <si>
    <t>Coordinador de Reclutamiento</t>
  </si>
  <si>
    <t>EMP-1003</t>
  </si>
  <si>
    <t>Laura</t>
  </si>
  <si>
    <t>Rodríguez Jiménez</t>
  </si>
  <si>
    <t>Femenino</t>
  </si>
  <si>
    <t>002-6770619-9</t>
  </si>
  <si>
    <t>laura.rodríguez@empresa.com.do</t>
  </si>
  <si>
    <t>(809) 470-1711</t>
  </si>
  <si>
    <t>Servicio al Cliente</t>
  </si>
  <si>
    <t>Supervisor de Call Center</t>
  </si>
  <si>
    <t>Temporal</t>
  </si>
  <si>
    <t>EMP-1004</t>
  </si>
  <si>
    <t>Fernanda</t>
  </si>
  <si>
    <t>Ramírez Rodríguez</t>
  </si>
  <si>
    <t>001-5855124-1</t>
  </si>
  <si>
    <t>fernanda.ramírez@empresa.com.do</t>
  </si>
  <si>
    <t>(809) 438-2654</t>
  </si>
  <si>
    <t>Operaciones</t>
  </si>
  <si>
    <t>Supervisor de Almacén</t>
  </si>
  <si>
    <t>EMP-1005</t>
  </si>
  <si>
    <t>Manuel</t>
  </si>
  <si>
    <t>Rodríguez Molina</t>
  </si>
  <si>
    <t>001-9961380-3</t>
  </si>
  <si>
    <t>manuel.rodríguez@empresa.com.do</t>
  </si>
  <si>
    <t>(809) 367-8573</t>
  </si>
  <si>
    <t>Por Proyecto</t>
  </si>
  <si>
    <t>EMP-1006</t>
  </si>
  <si>
    <t>Rafael</t>
  </si>
  <si>
    <t>Martínez Reyes</t>
  </si>
  <si>
    <t>002-2110460-3</t>
  </si>
  <si>
    <t>rafael.martínez@empresa.com.do</t>
  </si>
  <si>
    <t>(809) 780-6155</t>
  </si>
  <si>
    <t>Ventas</t>
  </si>
  <si>
    <t>Asesor Comercial</t>
  </si>
  <si>
    <t>EMP-1007</t>
  </si>
  <si>
    <t>Sofía</t>
  </si>
  <si>
    <t>Torres Ramos</t>
  </si>
  <si>
    <t>002-8187926-9</t>
  </si>
  <si>
    <t>sofía.torres@empresa.com.do</t>
  </si>
  <si>
    <t>(809) 608-6930</t>
  </si>
  <si>
    <t>Gerente de Ventas</t>
  </si>
  <si>
    <t>EMP-1008</t>
  </si>
  <si>
    <t>José</t>
  </si>
  <si>
    <t>Sánchez Herrera</t>
  </si>
  <si>
    <t>000-7455324-6</t>
  </si>
  <si>
    <t>josé.sánchez@empresa.com.do</t>
  </si>
  <si>
    <t>(809) 810-8668</t>
  </si>
  <si>
    <t>Marketing</t>
  </si>
  <si>
    <t>Community Manager</t>
  </si>
  <si>
    <t>EMP-1009</t>
  </si>
  <si>
    <t>Claudia</t>
  </si>
  <si>
    <t>López Cruz</t>
  </si>
  <si>
    <t>001-8612220-0</t>
  </si>
  <si>
    <t>claudia.lópez@empresa.com.do</t>
  </si>
  <si>
    <t>(809) 939-5315</t>
  </si>
  <si>
    <t>EMP-1010</t>
  </si>
  <si>
    <t>Morales Sánchez</t>
  </si>
  <si>
    <t>004-1009594-9</t>
  </si>
  <si>
    <t>josé.morales@empresa.com.do</t>
  </si>
  <si>
    <t>(809) 531-9005</t>
  </si>
  <si>
    <t>EMP-1011</t>
  </si>
  <si>
    <t>Antonio</t>
  </si>
  <si>
    <t>Rodríguez Rodríguez</t>
  </si>
  <si>
    <t>003-2161193-8</t>
  </si>
  <si>
    <t>antonio.rodríguez@empresa.com.do</t>
  </si>
  <si>
    <t>(809) 984-3060</t>
  </si>
  <si>
    <t>EMP-1012</t>
  </si>
  <si>
    <t>Daniela</t>
  </si>
  <si>
    <t>Ramos Ramírez</t>
  </si>
  <si>
    <t>002-7693979-5</t>
  </si>
  <si>
    <t>daniela.ramos@empresa.com.do</t>
  </si>
  <si>
    <t>(809) 648-9479</t>
  </si>
  <si>
    <t>Coordinador de Servicio</t>
  </si>
  <si>
    <t>EMP-1013</t>
  </si>
  <si>
    <t>Torres García</t>
  </si>
  <si>
    <t>000-4841005-1</t>
  </si>
  <si>
    <t>antonio.torres@empresa.com.do</t>
  </si>
  <si>
    <t>(809) 232-6413</t>
  </si>
  <si>
    <t>Contabilidad</t>
  </si>
  <si>
    <t>Analista Financiero</t>
  </si>
  <si>
    <t>EMP-1014</t>
  </si>
  <si>
    <t>Ortega Castro</t>
  </si>
  <si>
    <t>003-7829332-3</t>
  </si>
  <si>
    <t>antonio.ortega@empresa.com.do</t>
  </si>
  <si>
    <t>(809) 296-2588</t>
  </si>
  <si>
    <t>Inactivo</t>
  </si>
  <si>
    <t>EMP-1015</t>
  </si>
  <si>
    <t>Ramón</t>
  </si>
  <si>
    <t>Martínez Jiménez</t>
  </si>
  <si>
    <t>002-2833230-3</t>
  </si>
  <si>
    <t>ramón.martínez@empresa.com.do</t>
  </si>
  <si>
    <t>(809) 396-4116</t>
  </si>
  <si>
    <t>EMP-1016</t>
  </si>
  <si>
    <t>Víctor</t>
  </si>
  <si>
    <t>Ramos López</t>
  </si>
  <si>
    <t>004-1247595-1</t>
  </si>
  <si>
    <t>víctor.ramos@empresa.com.do</t>
  </si>
  <si>
    <t>(809) 971-4872</t>
  </si>
  <si>
    <t>Especialista en Nómina</t>
  </si>
  <si>
    <t>EMP-1017</t>
  </si>
  <si>
    <t>Luis</t>
  </si>
  <si>
    <t>Jiménez García</t>
  </si>
  <si>
    <t>002-8633773-4</t>
  </si>
  <si>
    <t>luis.jiménez@empresa.com.do</t>
  </si>
  <si>
    <t>(809) 633-8973</t>
  </si>
  <si>
    <t>Jefe de RRHH</t>
  </si>
  <si>
    <t>EMP-1018</t>
  </si>
  <si>
    <t>Diego</t>
  </si>
  <si>
    <t>Martínez Martínez</t>
  </si>
  <si>
    <t>003-9436429-8</t>
  </si>
  <si>
    <t>diego.martínez@empresa.com.do</t>
  </si>
  <si>
    <t>(809) 361-1931</t>
  </si>
  <si>
    <t>Contador General</t>
  </si>
  <si>
    <t>EMP-1019</t>
  </si>
  <si>
    <t>Javier</t>
  </si>
  <si>
    <t>López Ortega</t>
  </si>
  <si>
    <t>004-1666754-9</t>
  </si>
  <si>
    <t>javier.lópez@empresa.com.do</t>
  </si>
  <si>
    <t>(809) 283-7868</t>
  </si>
  <si>
    <t>Tecnología</t>
  </si>
  <si>
    <t>Desarrollador de Software</t>
  </si>
  <si>
    <t>EMP-1020</t>
  </si>
  <si>
    <t>Andrés</t>
  </si>
  <si>
    <t>Medina Reyes</t>
  </si>
  <si>
    <t>000-8688755-9</t>
  </si>
  <si>
    <t>andrés.medina@empresa.com.do</t>
  </si>
  <si>
    <t>(809) 776-2638</t>
  </si>
  <si>
    <t>EMP-1021</t>
  </si>
  <si>
    <t>Carmen</t>
  </si>
  <si>
    <t>Torres Morales</t>
  </si>
  <si>
    <t>001-8351517-8</t>
  </si>
  <si>
    <t>carmen.torres@empresa.com.do</t>
  </si>
  <si>
    <t>(809) 920-5956</t>
  </si>
  <si>
    <t>Recepcionista</t>
  </si>
  <si>
    <t>EMP-1022</t>
  </si>
  <si>
    <t>Flores López</t>
  </si>
  <si>
    <t>004-3607983-4</t>
  </si>
  <si>
    <t>josé.flores@empresa.com.do</t>
  </si>
  <si>
    <t>(809) 488-4450</t>
  </si>
  <si>
    <t>Jefe de TI</t>
  </si>
  <si>
    <t>EMP-1023</t>
  </si>
  <si>
    <t>Miguel</t>
  </si>
  <si>
    <t>Herrera Flores</t>
  </si>
  <si>
    <t>000-6596150-2</t>
  </si>
  <si>
    <t>miguel.herrera@empresa.com.do</t>
  </si>
  <si>
    <t>(809) 852-5291</t>
  </si>
  <si>
    <t>EMP-1024</t>
  </si>
  <si>
    <t>Pérez Ramos</t>
  </si>
  <si>
    <t>002-3484601-6</t>
  </si>
  <si>
    <t>miguel.pérez@empresa.com.do</t>
  </si>
  <si>
    <t>(809) 330-1685</t>
  </si>
  <si>
    <t>Diseñador Gráfico</t>
  </si>
  <si>
    <t>EMP-1025</t>
  </si>
  <si>
    <t>Morales Ramos</t>
  </si>
  <si>
    <t>004-3592974-3</t>
  </si>
  <si>
    <t>ramón.morales@empresa.com.do</t>
  </si>
  <si>
    <t>(809) 366-3900</t>
  </si>
  <si>
    <t>Gerente de Operaciones</t>
  </si>
  <si>
    <t>EMP-1026</t>
  </si>
  <si>
    <t>Sánchez López</t>
  </si>
  <si>
    <t>000-8896868-3</t>
  </si>
  <si>
    <t>manuel.sánchez@empresa.com.do</t>
  </si>
  <si>
    <t>(809) 404-8541</t>
  </si>
  <si>
    <t>EMP-1027</t>
  </si>
  <si>
    <t>Reyes Flores</t>
  </si>
  <si>
    <t>002-6891254-8</t>
  </si>
  <si>
    <t>javier.reyes@empresa.com.do</t>
  </si>
  <si>
    <t>(809) 609-9785</t>
  </si>
  <si>
    <t>EMP-1028</t>
  </si>
  <si>
    <t>Ana</t>
  </si>
  <si>
    <t>López Molina</t>
  </si>
  <si>
    <t>002-6262632-6</t>
  </si>
  <si>
    <t>ana.lópez@empresa.com.do</t>
  </si>
  <si>
    <t>(809) 820-9379</t>
  </si>
  <si>
    <t>Auxiliar Contable</t>
  </si>
  <si>
    <t>EMP-1029</t>
  </si>
  <si>
    <t>María</t>
  </si>
  <si>
    <t>Vargas Ramos</t>
  </si>
  <si>
    <t>001-7110622-6</t>
  </si>
  <si>
    <t>maría.vargas@empresa.com.do</t>
  </si>
  <si>
    <t>(809) 271-6409</t>
  </si>
  <si>
    <t>Soporte Técnico</t>
  </si>
  <si>
    <t>EMP-1030</t>
  </si>
  <si>
    <t>Jiménez Cruz</t>
  </si>
  <si>
    <t>001-4218542-6</t>
  </si>
  <si>
    <t>claudia.jiménez@empresa.com.do</t>
  </si>
  <si>
    <t>(809) 880-7211</t>
  </si>
  <si>
    <t>EMP-1031</t>
  </si>
  <si>
    <t>Cruz Ramírez</t>
  </si>
  <si>
    <t>004-6406444-7</t>
  </si>
  <si>
    <t>andrés.cruz@empresa.com.do</t>
  </si>
  <si>
    <t>(809) 652-8244</t>
  </si>
  <si>
    <t>EMP-1032</t>
  </si>
  <si>
    <t>Torres Cruz</t>
  </si>
  <si>
    <t>001-3472189-0</t>
  </si>
  <si>
    <t>carmen.torres1@empresa.com.do</t>
  </si>
  <si>
    <t>(809) 247-5011</t>
  </si>
  <si>
    <t>EMP-1033</t>
  </si>
  <si>
    <t>Castro Jiménez</t>
  </si>
  <si>
    <t>001-1093026-1</t>
  </si>
  <si>
    <t>javier.castro@empresa.com.do</t>
  </si>
  <si>
    <t>(809) 997-7965</t>
  </si>
  <si>
    <t>EMP-1034</t>
  </si>
  <si>
    <t>Medina Pérez</t>
  </si>
  <si>
    <t>004-6323376-7</t>
  </si>
  <si>
    <t>ramón.medina@empresa.com.do</t>
  </si>
  <si>
    <t>(809) 827-9270</t>
  </si>
  <si>
    <t>Auxiliar de Almacén</t>
  </si>
  <si>
    <t>EMP-1035</t>
  </si>
  <si>
    <t>Vargas Castro</t>
  </si>
  <si>
    <t>001-5606980-7</t>
  </si>
  <si>
    <t>manuel.vargas@empresa.com.do</t>
  </si>
  <si>
    <t>(809) 279-5681</t>
  </si>
  <si>
    <t>Ejecutivo de Ventas</t>
  </si>
  <si>
    <t>EMP-1036</t>
  </si>
  <si>
    <t>Jiménez Pérez</t>
  </si>
  <si>
    <t>001-2077581-6</t>
  </si>
  <si>
    <t>rafael.jiménez@empresa.com.do</t>
  </si>
  <si>
    <t>(809) 617-6421</t>
  </si>
  <si>
    <t>Agente de Servicio</t>
  </si>
  <si>
    <t>EMP-1037</t>
  </si>
  <si>
    <t>Jiménez Castro</t>
  </si>
  <si>
    <t>002-6009888-6</t>
  </si>
  <si>
    <t>antonio.jiménez@empresa.com.do</t>
  </si>
  <si>
    <t>(809) 629-9818</t>
  </si>
  <si>
    <t>EMP-1038</t>
  </si>
  <si>
    <t>Jiménez Sánchez</t>
  </si>
  <si>
    <t>001-9961107-0</t>
  </si>
  <si>
    <t>claudia.jiménez1@empresa.com.do</t>
  </si>
  <si>
    <t>(809) 603-1444</t>
  </si>
  <si>
    <t>EMP-1039</t>
  </si>
  <si>
    <t>Adriana</t>
  </si>
  <si>
    <t>Reyes Ramírez</t>
  </si>
  <si>
    <t>002-6662319-6</t>
  </si>
  <si>
    <t>adriana.reyes@empresa.com.do</t>
  </si>
  <si>
    <t>(809) 484-7906</t>
  </si>
  <si>
    <t>Director de Marketing</t>
  </si>
  <si>
    <t>EMP-1040</t>
  </si>
  <si>
    <t>Valeria</t>
  </si>
  <si>
    <t>Rodríguez Martínez</t>
  </si>
  <si>
    <t>001-4344717-0</t>
  </si>
  <si>
    <t>valeria.rodríguez@empresa.com.do</t>
  </si>
  <si>
    <t>(809) 836-3496</t>
  </si>
  <si>
    <t>TOTALES</t>
  </si>
  <si>
    <t># Empleados</t>
  </si>
  <si>
    <t>Salario Prom. (RD$)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</si>
</sst>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dd/mm/yyyy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workbookViewId="0"/>
  </sheetViews>
  <sheetFormatPr baseColWidth="10" defaultColWidth="8.88671875" defaultRowHeight="14.4" x14ac:dyDescent="0.3"/>
  <cols>
    <col min="1" max="2" width="12" customWidth="1"/>
    <col min="3" max="3" width="18" customWidth="1"/>
    <col min="4" max="4" width="10" customWidth="1"/>
    <col min="5" max="5" width="14" customWidth="1"/>
    <col min="6" max="6" width="7" customWidth="1"/>
    <col min="7" max="7" width="16" customWidth="1"/>
    <col min="8" max="8" width="30" customWidth="1"/>
    <col min="9" max="9" width="14" customWidth="1"/>
    <col min="10" max="10" width="20" customWidth="1"/>
    <col min="11" max="11" width="28" customWidth="1"/>
    <col min="12" max="13" width="14" customWidth="1"/>
    <col min="14" max="14" width="16" customWidth="1"/>
    <col min="15" max="15" width="20" customWidth="1"/>
    <col min="16" max="16" width="10" customWidth="1"/>
  </cols>
  <sheetData>
    <row r="1" spans="1:1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2" t="s">
        <v>19</v>
      </c>
      <c r="E2" s="3">
        <v>34510</v>
      </c>
      <c r="F2" s="4">
        <v>32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3">
        <v>44262</v>
      </c>
      <c r="N2" s="5">
        <v>5.3</v>
      </c>
      <c r="O2" s="6">
        <v>68383</v>
      </c>
      <c r="P2" s="2" t="s">
        <v>26</v>
      </c>
    </row>
    <row r="3" spans="1:16" x14ac:dyDescent="0.3">
      <c r="A3" s="7" t="s">
        <v>27</v>
      </c>
      <c r="B3" s="7" t="s">
        <v>28</v>
      </c>
      <c r="C3" s="7" t="s">
        <v>29</v>
      </c>
      <c r="D3" s="7" t="s">
        <v>19</v>
      </c>
      <c r="E3" s="8">
        <v>31294</v>
      </c>
      <c r="F3" s="9">
        <v>40</v>
      </c>
      <c r="G3" s="7" t="s">
        <v>30</v>
      </c>
      <c r="H3" s="7" t="s">
        <v>31</v>
      </c>
      <c r="I3" s="7" t="s">
        <v>32</v>
      </c>
      <c r="J3" s="7" t="s">
        <v>33</v>
      </c>
      <c r="K3" s="7" t="s">
        <v>34</v>
      </c>
      <c r="L3" s="7" t="s">
        <v>25</v>
      </c>
      <c r="M3" s="8">
        <v>43891</v>
      </c>
      <c r="N3" s="10">
        <v>6.3</v>
      </c>
      <c r="O3" s="11">
        <v>37731</v>
      </c>
      <c r="P3" s="7" t="s">
        <v>26</v>
      </c>
    </row>
    <row r="4" spans="1:16" x14ac:dyDescent="0.3">
      <c r="A4" s="2" t="s">
        <v>35</v>
      </c>
      <c r="B4" s="2" t="s">
        <v>36</v>
      </c>
      <c r="C4" s="2" t="s">
        <v>37</v>
      </c>
      <c r="D4" s="2" t="s">
        <v>38</v>
      </c>
      <c r="E4" s="3">
        <v>36583</v>
      </c>
      <c r="F4" s="4">
        <v>26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3">
        <v>45522</v>
      </c>
      <c r="N4" s="5">
        <v>1.8</v>
      </c>
      <c r="O4" s="6">
        <v>36511</v>
      </c>
      <c r="P4" s="2" t="s">
        <v>26</v>
      </c>
    </row>
    <row r="5" spans="1:16" x14ac:dyDescent="0.3">
      <c r="A5" s="7" t="s">
        <v>45</v>
      </c>
      <c r="B5" s="7" t="s">
        <v>46</v>
      </c>
      <c r="C5" s="7" t="s">
        <v>47</v>
      </c>
      <c r="D5" s="7" t="s">
        <v>38</v>
      </c>
      <c r="E5" s="8">
        <v>37417</v>
      </c>
      <c r="F5" s="9">
        <v>24</v>
      </c>
      <c r="G5" s="7" t="s">
        <v>48</v>
      </c>
      <c r="H5" s="7" t="s">
        <v>49</v>
      </c>
      <c r="I5" s="7" t="s">
        <v>50</v>
      </c>
      <c r="J5" s="7" t="s">
        <v>51</v>
      </c>
      <c r="K5" s="7" t="s">
        <v>52</v>
      </c>
      <c r="L5" s="7" t="s">
        <v>25</v>
      </c>
      <c r="M5" s="8">
        <v>44835</v>
      </c>
      <c r="N5" s="10">
        <v>3.7</v>
      </c>
      <c r="O5" s="11">
        <v>31857</v>
      </c>
      <c r="P5" s="7" t="s">
        <v>26</v>
      </c>
    </row>
    <row r="6" spans="1:16" x14ac:dyDescent="0.3">
      <c r="A6" s="2" t="s">
        <v>53</v>
      </c>
      <c r="B6" s="2" t="s">
        <v>54</v>
      </c>
      <c r="C6" s="2" t="s">
        <v>55</v>
      </c>
      <c r="D6" s="2" t="s">
        <v>19</v>
      </c>
      <c r="E6" s="3">
        <v>27764</v>
      </c>
      <c r="F6" s="4">
        <v>50</v>
      </c>
      <c r="G6" s="2" t="s">
        <v>56</v>
      </c>
      <c r="H6" s="2" t="s">
        <v>57</v>
      </c>
      <c r="I6" s="2" t="s">
        <v>58</v>
      </c>
      <c r="J6" s="2" t="s">
        <v>51</v>
      </c>
      <c r="K6" s="2" t="s">
        <v>52</v>
      </c>
      <c r="L6" s="2" t="s">
        <v>59</v>
      </c>
      <c r="M6" s="3">
        <v>44368</v>
      </c>
      <c r="N6" s="5">
        <v>5</v>
      </c>
      <c r="O6" s="6">
        <v>33790</v>
      </c>
      <c r="P6" s="2" t="s">
        <v>26</v>
      </c>
    </row>
    <row r="7" spans="1:16" x14ac:dyDescent="0.3">
      <c r="A7" s="7" t="s">
        <v>60</v>
      </c>
      <c r="B7" s="7" t="s">
        <v>61</v>
      </c>
      <c r="C7" s="7" t="s">
        <v>62</v>
      </c>
      <c r="D7" s="7" t="s">
        <v>19</v>
      </c>
      <c r="E7" s="8">
        <v>31595</v>
      </c>
      <c r="F7" s="9">
        <v>40</v>
      </c>
      <c r="G7" s="7" t="s">
        <v>63</v>
      </c>
      <c r="H7" s="7" t="s">
        <v>64</v>
      </c>
      <c r="I7" s="7" t="s">
        <v>65</v>
      </c>
      <c r="J7" s="7" t="s">
        <v>66</v>
      </c>
      <c r="K7" s="7" t="s">
        <v>67</v>
      </c>
      <c r="L7" s="7" t="s">
        <v>44</v>
      </c>
      <c r="M7" s="8">
        <v>40901</v>
      </c>
      <c r="N7" s="10">
        <v>14.5</v>
      </c>
      <c r="O7" s="11">
        <v>28044</v>
      </c>
      <c r="P7" s="7" t="s">
        <v>26</v>
      </c>
    </row>
    <row r="8" spans="1:16" x14ac:dyDescent="0.3">
      <c r="A8" s="2" t="s">
        <v>68</v>
      </c>
      <c r="B8" s="2" t="s">
        <v>69</v>
      </c>
      <c r="C8" s="2" t="s">
        <v>70</v>
      </c>
      <c r="D8" s="2" t="s">
        <v>38</v>
      </c>
      <c r="E8" s="3">
        <v>29337</v>
      </c>
      <c r="F8" s="4">
        <v>46</v>
      </c>
      <c r="G8" s="2" t="s">
        <v>71</v>
      </c>
      <c r="H8" s="2" t="s">
        <v>72</v>
      </c>
      <c r="I8" s="2" t="s">
        <v>73</v>
      </c>
      <c r="J8" s="2" t="s">
        <v>66</v>
      </c>
      <c r="K8" s="2" t="s">
        <v>74</v>
      </c>
      <c r="L8" s="2" t="s">
        <v>44</v>
      </c>
      <c r="M8" s="3">
        <v>45423</v>
      </c>
      <c r="N8" s="5">
        <v>2.1</v>
      </c>
      <c r="O8" s="6">
        <v>75087</v>
      </c>
      <c r="P8" s="2" t="s">
        <v>26</v>
      </c>
    </row>
    <row r="9" spans="1:16" x14ac:dyDescent="0.3">
      <c r="A9" s="7" t="s">
        <v>75</v>
      </c>
      <c r="B9" s="7" t="s">
        <v>76</v>
      </c>
      <c r="C9" s="7" t="s">
        <v>77</v>
      </c>
      <c r="D9" s="7" t="s">
        <v>19</v>
      </c>
      <c r="E9" s="8">
        <v>28396</v>
      </c>
      <c r="F9" s="9">
        <v>48</v>
      </c>
      <c r="G9" s="7" t="s">
        <v>78</v>
      </c>
      <c r="H9" s="7" t="s">
        <v>79</v>
      </c>
      <c r="I9" s="7" t="s">
        <v>80</v>
      </c>
      <c r="J9" s="7" t="s">
        <v>81</v>
      </c>
      <c r="K9" s="7" t="s">
        <v>82</v>
      </c>
      <c r="L9" s="7" t="s">
        <v>25</v>
      </c>
      <c r="M9" s="8">
        <v>45229</v>
      </c>
      <c r="N9" s="10">
        <v>2.7</v>
      </c>
      <c r="O9" s="11">
        <v>29525</v>
      </c>
      <c r="P9" s="7" t="s">
        <v>26</v>
      </c>
    </row>
    <row r="10" spans="1:16" x14ac:dyDescent="0.3">
      <c r="A10" s="2" t="s">
        <v>83</v>
      </c>
      <c r="B10" s="2" t="s">
        <v>84</v>
      </c>
      <c r="C10" s="2" t="s">
        <v>85</v>
      </c>
      <c r="D10" s="2" t="s">
        <v>38</v>
      </c>
      <c r="E10" s="3">
        <v>31044</v>
      </c>
      <c r="F10" s="4">
        <v>41</v>
      </c>
      <c r="G10" s="2" t="s">
        <v>86</v>
      </c>
      <c r="H10" s="2" t="s">
        <v>87</v>
      </c>
      <c r="I10" s="2" t="s">
        <v>88</v>
      </c>
      <c r="J10" s="2" t="s">
        <v>33</v>
      </c>
      <c r="K10" s="2" t="s">
        <v>34</v>
      </c>
      <c r="L10" s="2" t="s">
        <v>25</v>
      </c>
      <c r="M10" s="3">
        <v>41045</v>
      </c>
      <c r="N10" s="5">
        <v>14.1</v>
      </c>
      <c r="O10" s="6">
        <v>39738</v>
      </c>
      <c r="P10" s="2" t="s">
        <v>26</v>
      </c>
    </row>
    <row r="11" spans="1:16" x14ac:dyDescent="0.3">
      <c r="A11" s="7" t="s">
        <v>89</v>
      </c>
      <c r="B11" s="7" t="s">
        <v>76</v>
      </c>
      <c r="C11" s="7" t="s">
        <v>90</v>
      </c>
      <c r="D11" s="7" t="s">
        <v>19</v>
      </c>
      <c r="E11" s="8">
        <v>29330</v>
      </c>
      <c r="F11" s="9">
        <v>46</v>
      </c>
      <c r="G11" s="7" t="s">
        <v>91</v>
      </c>
      <c r="H11" s="7" t="s">
        <v>92</v>
      </c>
      <c r="I11" s="7" t="s">
        <v>93</v>
      </c>
      <c r="J11" s="7" t="s">
        <v>23</v>
      </c>
      <c r="K11" s="7" t="s">
        <v>24</v>
      </c>
      <c r="L11" s="7" t="s">
        <v>25</v>
      </c>
      <c r="M11" s="8">
        <v>43648</v>
      </c>
      <c r="N11" s="10">
        <v>7</v>
      </c>
      <c r="O11" s="11">
        <v>71805</v>
      </c>
      <c r="P11" s="7" t="s">
        <v>26</v>
      </c>
    </row>
    <row r="12" spans="1:16" x14ac:dyDescent="0.3">
      <c r="A12" s="2" t="s">
        <v>94</v>
      </c>
      <c r="B12" s="2" t="s">
        <v>95</v>
      </c>
      <c r="C12" s="2" t="s">
        <v>96</v>
      </c>
      <c r="D12" s="2" t="s">
        <v>19</v>
      </c>
      <c r="E12" s="3">
        <v>26176</v>
      </c>
      <c r="F12" s="4">
        <v>54</v>
      </c>
      <c r="G12" s="2" t="s">
        <v>97</v>
      </c>
      <c r="H12" s="2" t="s">
        <v>98</v>
      </c>
      <c r="I12" s="2" t="s">
        <v>99</v>
      </c>
      <c r="J12" s="2" t="s">
        <v>33</v>
      </c>
      <c r="K12" s="2" t="s">
        <v>34</v>
      </c>
      <c r="L12" s="2" t="s">
        <v>59</v>
      </c>
      <c r="M12" s="3">
        <v>44815</v>
      </c>
      <c r="N12" s="5">
        <v>3.8</v>
      </c>
      <c r="O12" s="6">
        <v>37946</v>
      </c>
      <c r="P12" s="2" t="s">
        <v>26</v>
      </c>
    </row>
    <row r="13" spans="1:16" x14ac:dyDescent="0.3">
      <c r="A13" s="7" t="s">
        <v>100</v>
      </c>
      <c r="B13" s="7" t="s">
        <v>101</v>
      </c>
      <c r="C13" s="7" t="s">
        <v>102</v>
      </c>
      <c r="D13" s="7" t="s">
        <v>38</v>
      </c>
      <c r="E13" s="8">
        <v>26487</v>
      </c>
      <c r="F13" s="9">
        <v>54</v>
      </c>
      <c r="G13" s="7" t="s">
        <v>103</v>
      </c>
      <c r="H13" s="7" t="s">
        <v>104</v>
      </c>
      <c r="I13" s="7" t="s">
        <v>105</v>
      </c>
      <c r="J13" s="7" t="s">
        <v>42</v>
      </c>
      <c r="K13" s="7" t="s">
        <v>106</v>
      </c>
      <c r="L13" s="7" t="s">
        <v>25</v>
      </c>
      <c r="M13" s="8">
        <v>45643</v>
      </c>
      <c r="N13" s="10">
        <v>1.5</v>
      </c>
      <c r="O13" s="11">
        <v>39015</v>
      </c>
      <c r="P13" s="7" t="s">
        <v>26</v>
      </c>
    </row>
    <row r="14" spans="1:16" x14ac:dyDescent="0.3">
      <c r="A14" s="2" t="s">
        <v>107</v>
      </c>
      <c r="B14" s="2" t="s">
        <v>95</v>
      </c>
      <c r="C14" s="2" t="s">
        <v>108</v>
      </c>
      <c r="D14" s="2" t="s">
        <v>19</v>
      </c>
      <c r="E14" s="3">
        <v>37004</v>
      </c>
      <c r="F14" s="4">
        <v>25</v>
      </c>
      <c r="G14" s="2" t="s">
        <v>109</v>
      </c>
      <c r="H14" s="2" t="s">
        <v>110</v>
      </c>
      <c r="I14" s="2" t="s">
        <v>111</v>
      </c>
      <c r="J14" s="2" t="s">
        <v>112</v>
      </c>
      <c r="K14" s="2" t="s">
        <v>113</v>
      </c>
      <c r="L14" s="2" t="s">
        <v>25</v>
      </c>
      <c r="M14" s="3">
        <v>42191</v>
      </c>
      <c r="N14" s="5">
        <v>11</v>
      </c>
      <c r="O14" s="6">
        <v>48974</v>
      </c>
      <c r="P14" s="2" t="s">
        <v>26</v>
      </c>
    </row>
    <row r="15" spans="1:16" x14ac:dyDescent="0.3">
      <c r="A15" s="7" t="s">
        <v>114</v>
      </c>
      <c r="B15" s="7" t="s">
        <v>95</v>
      </c>
      <c r="C15" s="7" t="s">
        <v>115</v>
      </c>
      <c r="D15" s="7" t="s">
        <v>19</v>
      </c>
      <c r="E15" s="8">
        <v>34186</v>
      </c>
      <c r="F15" s="9">
        <v>32</v>
      </c>
      <c r="G15" s="7" t="s">
        <v>116</v>
      </c>
      <c r="H15" s="7" t="s">
        <v>117</v>
      </c>
      <c r="I15" s="7" t="s">
        <v>118</v>
      </c>
      <c r="J15" s="7" t="s">
        <v>51</v>
      </c>
      <c r="K15" s="7" t="s">
        <v>52</v>
      </c>
      <c r="L15" s="7" t="s">
        <v>44</v>
      </c>
      <c r="M15" s="8">
        <v>42342</v>
      </c>
      <c r="N15" s="10">
        <v>10.6</v>
      </c>
      <c r="O15" s="11">
        <v>31734</v>
      </c>
      <c r="P15" s="7" t="s">
        <v>119</v>
      </c>
    </row>
    <row r="16" spans="1:16" x14ac:dyDescent="0.3">
      <c r="A16" s="2" t="s">
        <v>120</v>
      </c>
      <c r="B16" s="2" t="s">
        <v>121</v>
      </c>
      <c r="C16" s="2" t="s">
        <v>122</v>
      </c>
      <c r="D16" s="2" t="s">
        <v>19</v>
      </c>
      <c r="E16" s="3">
        <v>26236</v>
      </c>
      <c r="F16" s="4">
        <v>54</v>
      </c>
      <c r="G16" s="2" t="s">
        <v>123</v>
      </c>
      <c r="H16" s="2" t="s">
        <v>124</v>
      </c>
      <c r="I16" s="2" t="s">
        <v>125</v>
      </c>
      <c r="J16" s="2" t="s">
        <v>42</v>
      </c>
      <c r="K16" s="2" t="s">
        <v>106</v>
      </c>
      <c r="L16" s="2" t="s">
        <v>25</v>
      </c>
      <c r="M16" s="3">
        <v>43886</v>
      </c>
      <c r="N16" s="5">
        <v>6.3</v>
      </c>
      <c r="O16" s="6">
        <v>39728</v>
      </c>
      <c r="P16" s="2" t="s">
        <v>26</v>
      </c>
    </row>
    <row r="17" spans="1:16" x14ac:dyDescent="0.3">
      <c r="A17" s="7" t="s">
        <v>126</v>
      </c>
      <c r="B17" s="7" t="s">
        <v>127</v>
      </c>
      <c r="C17" s="7" t="s">
        <v>128</v>
      </c>
      <c r="D17" s="7" t="s">
        <v>19</v>
      </c>
      <c r="E17" s="8">
        <v>37339</v>
      </c>
      <c r="F17" s="9">
        <v>24</v>
      </c>
      <c r="G17" s="7" t="s">
        <v>129</v>
      </c>
      <c r="H17" s="7" t="s">
        <v>130</v>
      </c>
      <c r="I17" s="7" t="s">
        <v>131</v>
      </c>
      <c r="J17" s="7" t="s">
        <v>33</v>
      </c>
      <c r="K17" s="7" t="s">
        <v>132</v>
      </c>
      <c r="L17" s="7" t="s">
        <v>44</v>
      </c>
      <c r="M17" s="8">
        <v>44416</v>
      </c>
      <c r="N17" s="10">
        <v>4.9000000000000004</v>
      </c>
      <c r="O17" s="11">
        <v>34989</v>
      </c>
      <c r="P17" s="7" t="s">
        <v>119</v>
      </c>
    </row>
    <row r="18" spans="1:16" x14ac:dyDescent="0.3">
      <c r="A18" s="2" t="s">
        <v>133</v>
      </c>
      <c r="B18" s="2" t="s">
        <v>134</v>
      </c>
      <c r="C18" s="2" t="s">
        <v>135</v>
      </c>
      <c r="D18" s="2" t="s">
        <v>19</v>
      </c>
      <c r="E18" s="3">
        <v>31771</v>
      </c>
      <c r="F18" s="4">
        <v>39</v>
      </c>
      <c r="G18" s="2" t="s">
        <v>136</v>
      </c>
      <c r="H18" s="2" t="s">
        <v>137</v>
      </c>
      <c r="I18" s="2" t="s">
        <v>138</v>
      </c>
      <c r="J18" s="2" t="s">
        <v>33</v>
      </c>
      <c r="K18" s="2" t="s">
        <v>139</v>
      </c>
      <c r="L18" s="2" t="s">
        <v>25</v>
      </c>
      <c r="M18" s="3">
        <v>45688</v>
      </c>
      <c r="N18" s="5">
        <v>1.4</v>
      </c>
      <c r="O18" s="6">
        <v>59215</v>
      </c>
      <c r="P18" s="2" t="s">
        <v>26</v>
      </c>
    </row>
    <row r="19" spans="1:16" x14ac:dyDescent="0.3">
      <c r="A19" s="7" t="s">
        <v>140</v>
      </c>
      <c r="B19" s="7" t="s">
        <v>141</v>
      </c>
      <c r="C19" s="7" t="s">
        <v>142</v>
      </c>
      <c r="D19" s="7" t="s">
        <v>19</v>
      </c>
      <c r="E19" s="8">
        <v>28596</v>
      </c>
      <c r="F19" s="9">
        <v>48</v>
      </c>
      <c r="G19" s="7" t="s">
        <v>143</v>
      </c>
      <c r="H19" s="7" t="s">
        <v>144</v>
      </c>
      <c r="I19" s="7" t="s">
        <v>145</v>
      </c>
      <c r="J19" s="7" t="s">
        <v>112</v>
      </c>
      <c r="K19" s="7" t="s">
        <v>146</v>
      </c>
      <c r="L19" s="7" t="s">
        <v>59</v>
      </c>
      <c r="M19" s="8">
        <v>45611</v>
      </c>
      <c r="N19" s="10">
        <v>1.6</v>
      </c>
      <c r="O19" s="11">
        <v>63280</v>
      </c>
      <c r="P19" s="7" t="s">
        <v>26</v>
      </c>
    </row>
    <row r="20" spans="1:16" x14ac:dyDescent="0.3">
      <c r="A20" s="2" t="s">
        <v>147</v>
      </c>
      <c r="B20" s="2" t="s">
        <v>148</v>
      </c>
      <c r="C20" s="2" t="s">
        <v>149</v>
      </c>
      <c r="D20" s="2" t="s">
        <v>19</v>
      </c>
      <c r="E20" s="3">
        <v>34134</v>
      </c>
      <c r="F20" s="4">
        <v>33</v>
      </c>
      <c r="G20" s="2" t="s">
        <v>150</v>
      </c>
      <c r="H20" s="2" t="s">
        <v>151</v>
      </c>
      <c r="I20" s="2" t="s">
        <v>152</v>
      </c>
      <c r="J20" s="2" t="s">
        <v>153</v>
      </c>
      <c r="K20" s="2" t="s">
        <v>154</v>
      </c>
      <c r="L20" s="2" t="s">
        <v>25</v>
      </c>
      <c r="M20" s="3">
        <v>44212</v>
      </c>
      <c r="N20" s="5">
        <v>5.4</v>
      </c>
      <c r="O20" s="6">
        <v>53836</v>
      </c>
      <c r="P20" s="2" t="s">
        <v>26</v>
      </c>
    </row>
    <row r="21" spans="1:16" x14ac:dyDescent="0.3">
      <c r="A21" s="7" t="s">
        <v>155</v>
      </c>
      <c r="B21" s="7" t="s">
        <v>156</v>
      </c>
      <c r="C21" s="7" t="s">
        <v>157</v>
      </c>
      <c r="D21" s="7" t="s">
        <v>19</v>
      </c>
      <c r="E21" s="8">
        <v>36979</v>
      </c>
      <c r="F21" s="9">
        <v>25</v>
      </c>
      <c r="G21" s="7" t="s">
        <v>158</v>
      </c>
      <c r="H21" s="7" t="s">
        <v>159</v>
      </c>
      <c r="I21" s="7" t="s">
        <v>160</v>
      </c>
      <c r="J21" s="7" t="s">
        <v>112</v>
      </c>
      <c r="K21" s="7" t="s">
        <v>113</v>
      </c>
      <c r="L21" s="7" t="s">
        <v>59</v>
      </c>
      <c r="M21" s="8">
        <v>43995</v>
      </c>
      <c r="N21" s="10">
        <v>6</v>
      </c>
      <c r="O21" s="11">
        <v>48873</v>
      </c>
      <c r="P21" s="7" t="s">
        <v>26</v>
      </c>
    </row>
    <row r="22" spans="1:16" x14ac:dyDescent="0.3">
      <c r="A22" s="2" t="s">
        <v>161</v>
      </c>
      <c r="B22" s="2" t="s">
        <v>162</v>
      </c>
      <c r="C22" s="2" t="s">
        <v>163</v>
      </c>
      <c r="D22" s="2" t="s">
        <v>38</v>
      </c>
      <c r="E22" s="3">
        <v>33498</v>
      </c>
      <c r="F22" s="4">
        <v>34</v>
      </c>
      <c r="G22" s="2" t="s">
        <v>164</v>
      </c>
      <c r="H22" s="2" t="s">
        <v>165</v>
      </c>
      <c r="I22" s="2" t="s">
        <v>166</v>
      </c>
      <c r="J22" s="2" t="s">
        <v>23</v>
      </c>
      <c r="K22" s="2" t="s">
        <v>167</v>
      </c>
      <c r="L22" s="2" t="s">
        <v>59</v>
      </c>
      <c r="M22" s="3">
        <v>43715</v>
      </c>
      <c r="N22" s="5">
        <v>6.8</v>
      </c>
      <c r="O22" s="6">
        <v>23346</v>
      </c>
      <c r="P22" s="2" t="s">
        <v>119</v>
      </c>
    </row>
    <row r="23" spans="1:16" x14ac:dyDescent="0.3">
      <c r="A23" s="7" t="s">
        <v>168</v>
      </c>
      <c r="B23" s="7" t="s">
        <v>76</v>
      </c>
      <c r="C23" s="7" t="s">
        <v>169</v>
      </c>
      <c r="D23" s="7" t="s">
        <v>19</v>
      </c>
      <c r="E23" s="8">
        <v>36414</v>
      </c>
      <c r="F23" s="9">
        <v>26</v>
      </c>
      <c r="G23" s="7" t="s">
        <v>170</v>
      </c>
      <c r="H23" s="7" t="s">
        <v>171</v>
      </c>
      <c r="I23" s="7" t="s">
        <v>172</v>
      </c>
      <c r="J23" s="7" t="s">
        <v>153</v>
      </c>
      <c r="K23" s="7" t="s">
        <v>173</v>
      </c>
      <c r="L23" s="7" t="s">
        <v>25</v>
      </c>
      <c r="M23" s="8">
        <v>42027</v>
      </c>
      <c r="N23" s="10">
        <v>11.4</v>
      </c>
      <c r="O23" s="11">
        <v>70815</v>
      </c>
      <c r="P23" s="7" t="s">
        <v>26</v>
      </c>
    </row>
    <row r="24" spans="1:16" x14ac:dyDescent="0.3">
      <c r="A24" s="2" t="s">
        <v>174</v>
      </c>
      <c r="B24" s="2" t="s">
        <v>175</v>
      </c>
      <c r="C24" s="2" t="s">
        <v>176</v>
      </c>
      <c r="D24" s="2" t="s">
        <v>19</v>
      </c>
      <c r="E24" s="3">
        <v>37445</v>
      </c>
      <c r="F24" s="4">
        <v>23</v>
      </c>
      <c r="G24" s="2" t="s">
        <v>177</v>
      </c>
      <c r="H24" s="2" t="s">
        <v>178</v>
      </c>
      <c r="I24" s="2" t="s">
        <v>179</v>
      </c>
      <c r="J24" s="2" t="s">
        <v>33</v>
      </c>
      <c r="K24" s="2" t="s">
        <v>34</v>
      </c>
      <c r="L24" s="2" t="s">
        <v>59</v>
      </c>
      <c r="M24" s="3">
        <v>42664</v>
      </c>
      <c r="N24" s="5">
        <v>9.6999999999999993</v>
      </c>
      <c r="O24" s="6">
        <v>37809</v>
      </c>
      <c r="P24" s="2" t="s">
        <v>26</v>
      </c>
    </row>
    <row r="25" spans="1:16" x14ac:dyDescent="0.3">
      <c r="A25" s="7" t="s">
        <v>180</v>
      </c>
      <c r="B25" s="7" t="s">
        <v>175</v>
      </c>
      <c r="C25" s="7" t="s">
        <v>181</v>
      </c>
      <c r="D25" s="7" t="s">
        <v>19</v>
      </c>
      <c r="E25" s="8">
        <v>37577</v>
      </c>
      <c r="F25" s="9">
        <v>23</v>
      </c>
      <c r="G25" s="7" t="s">
        <v>182</v>
      </c>
      <c r="H25" s="7" t="s">
        <v>183</v>
      </c>
      <c r="I25" s="7" t="s">
        <v>184</v>
      </c>
      <c r="J25" s="7" t="s">
        <v>81</v>
      </c>
      <c r="K25" s="7" t="s">
        <v>185</v>
      </c>
      <c r="L25" s="7" t="s">
        <v>25</v>
      </c>
      <c r="M25" s="8">
        <v>43236</v>
      </c>
      <c r="N25" s="10">
        <v>8.1</v>
      </c>
      <c r="O25" s="11">
        <v>36682</v>
      </c>
      <c r="P25" s="7" t="s">
        <v>26</v>
      </c>
    </row>
    <row r="26" spans="1:16" x14ac:dyDescent="0.3">
      <c r="A26" s="2" t="s">
        <v>186</v>
      </c>
      <c r="B26" s="2" t="s">
        <v>121</v>
      </c>
      <c r="C26" s="2" t="s">
        <v>187</v>
      </c>
      <c r="D26" s="2" t="s">
        <v>19</v>
      </c>
      <c r="E26" s="3">
        <v>31509</v>
      </c>
      <c r="F26" s="4">
        <v>40</v>
      </c>
      <c r="G26" s="2" t="s">
        <v>188</v>
      </c>
      <c r="H26" s="2" t="s">
        <v>189</v>
      </c>
      <c r="I26" s="2" t="s">
        <v>190</v>
      </c>
      <c r="J26" s="2" t="s">
        <v>51</v>
      </c>
      <c r="K26" s="2" t="s">
        <v>191</v>
      </c>
      <c r="L26" s="2" t="s">
        <v>25</v>
      </c>
      <c r="M26" s="3">
        <v>42795</v>
      </c>
      <c r="N26" s="5">
        <v>9.3000000000000007</v>
      </c>
      <c r="O26" s="6">
        <v>63734</v>
      </c>
      <c r="P26" s="2" t="s">
        <v>119</v>
      </c>
    </row>
    <row r="27" spans="1:16" x14ac:dyDescent="0.3">
      <c r="A27" s="7" t="s">
        <v>192</v>
      </c>
      <c r="B27" s="7" t="s">
        <v>54</v>
      </c>
      <c r="C27" s="7" t="s">
        <v>193</v>
      </c>
      <c r="D27" s="7" t="s">
        <v>19</v>
      </c>
      <c r="E27" s="8">
        <v>31900</v>
      </c>
      <c r="F27" s="9">
        <v>39</v>
      </c>
      <c r="G27" s="7" t="s">
        <v>194</v>
      </c>
      <c r="H27" s="7" t="s">
        <v>195</v>
      </c>
      <c r="I27" s="7" t="s">
        <v>196</v>
      </c>
      <c r="J27" s="7" t="s">
        <v>153</v>
      </c>
      <c r="K27" s="7" t="s">
        <v>154</v>
      </c>
      <c r="L27" s="7" t="s">
        <v>25</v>
      </c>
      <c r="M27" s="8">
        <v>44341</v>
      </c>
      <c r="N27" s="10">
        <v>5.0999999999999996</v>
      </c>
      <c r="O27" s="11">
        <v>56360</v>
      </c>
      <c r="P27" s="7" t="s">
        <v>26</v>
      </c>
    </row>
    <row r="28" spans="1:16" x14ac:dyDescent="0.3">
      <c r="A28" s="2" t="s">
        <v>197</v>
      </c>
      <c r="B28" s="2" t="s">
        <v>148</v>
      </c>
      <c r="C28" s="2" t="s">
        <v>198</v>
      </c>
      <c r="D28" s="2" t="s">
        <v>19</v>
      </c>
      <c r="E28" s="3">
        <v>37030</v>
      </c>
      <c r="F28" s="4">
        <v>25</v>
      </c>
      <c r="G28" s="2" t="s">
        <v>199</v>
      </c>
      <c r="H28" s="2" t="s">
        <v>200</v>
      </c>
      <c r="I28" s="2" t="s">
        <v>201</v>
      </c>
      <c r="J28" s="2" t="s">
        <v>153</v>
      </c>
      <c r="K28" s="2" t="s">
        <v>173</v>
      </c>
      <c r="L28" s="2" t="s">
        <v>25</v>
      </c>
      <c r="M28" s="3">
        <v>44705</v>
      </c>
      <c r="N28" s="5">
        <v>4.0999999999999996</v>
      </c>
      <c r="O28" s="6">
        <v>68472</v>
      </c>
      <c r="P28" s="2" t="s">
        <v>26</v>
      </c>
    </row>
    <row r="29" spans="1:16" x14ac:dyDescent="0.3">
      <c r="A29" s="7" t="s">
        <v>202</v>
      </c>
      <c r="B29" s="7" t="s">
        <v>203</v>
      </c>
      <c r="C29" s="7" t="s">
        <v>204</v>
      </c>
      <c r="D29" s="7" t="s">
        <v>38</v>
      </c>
      <c r="E29" s="8">
        <v>31048</v>
      </c>
      <c r="F29" s="9">
        <v>41</v>
      </c>
      <c r="G29" s="7" t="s">
        <v>205</v>
      </c>
      <c r="H29" s="7" t="s">
        <v>206</v>
      </c>
      <c r="I29" s="7" t="s">
        <v>207</v>
      </c>
      <c r="J29" s="7" t="s">
        <v>112</v>
      </c>
      <c r="K29" s="7" t="s">
        <v>208</v>
      </c>
      <c r="L29" s="7" t="s">
        <v>59</v>
      </c>
      <c r="M29" s="8">
        <v>44610</v>
      </c>
      <c r="N29" s="10">
        <v>4.3</v>
      </c>
      <c r="O29" s="11">
        <v>31684</v>
      </c>
      <c r="P29" s="7" t="s">
        <v>26</v>
      </c>
    </row>
    <row r="30" spans="1:16" x14ac:dyDescent="0.3">
      <c r="A30" s="2" t="s">
        <v>209</v>
      </c>
      <c r="B30" s="2" t="s">
        <v>210</v>
      </c>
      <c r="C30" s="2" t="s">
        <v>211</v>
      </c>
      <c r="D30" s="2" t="s">
        <v>38</v>
      </c>
      <c r="E30" s="3">
        <v>26914</v>
      </c>
      <c r="F30" s="4">
        <v>52</v>
      </c>
      <c r="G30" s="2" t="s">
        <v>212</v>
      </c>
      <c r="H30" s="2" t="s">
        <v>213</v>
      </c>
      <c r="I30" s="2" t="s">
        <v>214</v>
      </c>
      <c r="J30" s="2" t="s">
        <v>153</v>
      </c>
      <c r="K30" s="2" t="s">
        <v>215</v>
      </c>
      <c r="L30" s="2" t="s">
        <v>25</v>
      </c>
      <c r="M30" s="3">
        <v>43707</v>
      </c>
      <c r="N30" s="5">
        <v>6.8</v>
      </c>
      <c r="O30" s="6">
        <v>31473</v>
      </c>
      <c r="P30" s="2" t="s">
        <v>26</v>
      </c>
    </row>
    <row r="31" spans="1:16" x14ac:dyDescent="0.3">
      <c r="A31" s="7" t="s">
        <v>216</v>
      </c>
      <c r="B31" s="7" t="s">
        <v>84</v>
      </c>
      <c r="C31" s="7" t="s">
        <v>217</v>
      </c>
      <c r="D31" s="7" t="s">
        <v>38</v>
      </c>
      <c r="E31" s="8">
        <v>29084</v>
      </c>
      <c r="F31" s="9">
        <v>46</v>
      </c>
      <c r="G31" s="7" t="s">
        <v>218</v>
      </c>
      <c r="H31" s="7" t="s">
        <v>219</v>
      </c>
      <c r="I31" s="7" t="s">
        <v>220</v>
      </c>
      <c r="J31" s="7" t="s">
        <v>33</v>
      </c>
      <c r="K31" s="7" t="s">
        <v>34</v>
      </c>
      <c r="L31" s="7" t="s">
        <v>25</v>
      </c>
      <c r="M31" s="8">
        <v>42841</v>
      </c>
      <c r="N31" s="10">
        <v>9.1999999999999993</v>
      </c>
      <c r="O31" s="11">
        <v>38331</v>
      </c>
      <c r="P31" s="7" t="s">
        <v>26</v>
      </c>
    </row>
    <row r="32" spans="1:16" x14ac:dyDescent="0.3">
      <c r="A32" s="2" t="s">
        <v>221</v>
      </c>
      <c r="B32" s="2" t="s">
        <v>156</v>
      </c>
      <c r="C32" s="2" t="s">
        <v>222</v>
      </c>
      <c r="D32" s="2" t="s">
        <v>19</v>
      </c>
      <c r="E32" s="3">
        <v>31124</v>
      </c>
      <c r="F32" s="4">
        <v>41</v>
      </c>
      <c r="G32" s="2" t="s">
        <v>223</v>
      </c>
      <c r="H32" s="2" t="s">
        <v>224</v>
      </c>
      <c r="I32" s="2" t="s">
        <v>225</v>
      </c>
      <c r="J32" s="2" t="s">
        <v>66</v>
      </c>
      <c r="K32" s="2" t="s">
        <v>67</v>
      </c>
      <c r="L32" s="2" t="s">
        <v>25</v>
      </c>
      <c r="M32" s="3">
        <v>40770</v>
      </c>
      <c r="N32" s="5">
        <v>14.9</v>
      </c>
      <c r="O32" s="6">
        <v>27938</v>
      </c>
      <c r="P32" s="2" t="s">
        <v>26</v>
      </c>
    </row>
    <row r="33" spans="1:16" x14ac:dyDescent="0.3">
      <c r="A33" s="7" t="s">
        <v>226</v>
      </c>
      <c r="B33" s="7" t="s">
        <v>162</v>
      </c>
      <c r="C33" s="7" t="s">
        <v>227</v>
      </c>
      <c r="D33" s="7" t="s">
        <v>38</v>
      </c>
      <c r="E33" s="8">
        <v>34487</v>
      </c>
      <c r="F33" s="9">
        <v>32</v>
      </c>
      <c r="G33" s="7" t="s">
        <v>228</v>
      </c>
      <c r="H33" s="7" t="s">
        <v>229</v>
      </c>
      <c r="I33" s="7" t="s">
        <v>230</v>
      </c>
      <c r="J33" s="7" t="s">
        <v>42</v>
      </c>
      <c r="K33" s="7" t="s">
        <v>43</v>
      </c>
      <c r="L33" s="7" t="s">
        <v>25</v>
      </c>
      <c r="M33" s="8">
        <v>42437</v>
      </c>
      <c r="N33" s="10">
        <v>10.3</v>
      </c>
      <c r="O33" s="11">
        <v>39480</v>
      </c>
      <c r="P33" s="7" t="s">
        <v>26</v>
      </c>
    </row>
    <row r="34" spans="1:16" x14ac:dyDescent="0.3">
      <c r="A34" s="2" t="s">
        <v>231</v>
      </c>
      <c r="B34" s="2" t="s">
        <v>148</v>
      </c>
      <c r="C34" s="2" t="s">
        <v>232</v>
      </c>
      <c r="D34" s="2" t="s">
        <v>19</v>
      </c>
      <c r="E34" s="3">
        <v>34170</v>
      </c>
      <c r="F34" s="4">
        <v>32</v>
      </c>
      <c r="G34" s="2" t="s">
        <v>233</v>
      </c>
      <c r="H34" s="2" t="s">
        <v>234</v>
      </c>
      <c r="I34" s="2" t="s">
        <v>235</v>
      </c>
      <c r="J34" s="2" t="s">
        <v>66</v>
      </c>
      <c r="K34" s="2" t="s">
        <v>74</v>
      </c>
      <c r="L34" s="2" t="s">
        <v>59</v>
      </c>
      <c r="M34" s="3">
        <v>42362</v>
      </c>
      <c r="N34" s="5">
        <v>10.5</v>
      </c>
      <c r="O34" s="6">
        <v>76293</v>
      </c>
      <c r="P34" s="2" t="s">
        <v>26</v>
      </c>
    </row>
    <row r="35" spans="1:16" x14ac:dyDescent="0.3">
      <c r="A35" s="7" t="s">
        <v>236</v>
      </c>
      <c r="B35" s="7" t="s">
        <v>121</v>
      </c>
      <c r="C35" s="7" t="s">
        <v>237</v>
      </c>
      <c r="D35" s="7" t="s">
        <v>19</v>
      </c>
      <c r="E35" s="8">
        <v>30555</v>
      </c>
      <c r="F35" s="9">
        <v>42</v>
      </c>
      <c r="G35" s="7" t="s">
        <v>238</v>
      </c>
      <c r="H35" s="7" t="s">
        <v>239</v>
      </c>
      <c r="I35" s="7" t="s">
        <v>240</v>
      </c>
      <c r="J35" s="7" t="s">
        <v>51</v>
      </c>
      <c r="K35" s="7" t="s">
        <v>241</v>
      </c>
      <c r="L35" s="7" t="s">
        <v>25</v>
      </c>
      <c r="M35" s="8">
        <v>42279</v>
      </c>
      <c r="N35" s="10">
        <v>10.7</v>
      </c>
      <c r="O35" s="11">
        <v>21826</v>
      </c>
      <c r="P35" s="7" t="s">
        <v>26</v>
      </c>
    </row>
    <row r="36" spans="1:16" x14ac:dyDescent="0.3">
      <c r="A36" s="2" t="s">
        <v>242</v>
      </c>
      <c r="B36" s="2" t="s">
        <v>54</v>
      </c>
      <c r="C36" s="2" t="s">
        <v>243</v>
      </c>
      <c r="D36" s="2" t="s">
        <v>19</v>
      </c>
      <c r="E36" s="3">
        <v>27899</v>
      </c>
      <c r="F36" s="4">
        <v>50</v>
      </c>
      <c r="G36" s="2" t="s">
        <v>244</v>
      </c>
      <c r="H36" s="2" t="s">
        <v>245</v>
      </c>
      <c r="I36" s="2" t="s">
        <v>246</v>
      </c>
      <c r="J36" s="2" t="s">
        <v>66</v>
      </c>
      <c r="K36" s="2" t="s">
        <v>247</v>
      </c>
      <c r="L36" s="2" t="s">
        <v>25</v>
      </c>
      <c r="M36" s="3">
        <v>41743</v>
      </c>
      <c r="N36" s="5">
        <v>12.2</v>
      </c>
      <c r="O36" s="6">
        <v>31375</v>
      </c>
      <c r="P36" s="2" t="s">
        <v>26</v>
      </c>
    </row>
    <row r="37" spans="1:16" x14ac:dyDescent="0.3">
      <c r="A37" s="7" t="s">
        <v>248</v>
      </c>
      <c r="B37" s="7" t="s">
        <v>61</v>
      </c>
      <c r="C37" s="7" t="s">
        <v>249</v>
      </c>
      <c r="D37" s="7" t="s">
        <v>19</v>
      </c>
      <c r="E37" s="8">
        <v>26594</v>
      </c>
      <c r="F37" s="9">
        <v>53</v>
      </c>
      <c r="G37" s="7" t="s">
        <v>250</v>
      </c>
      <c r="H37" s="7" t="s">
        <v>251</v>
      </c>
      <c r="I37" s="7" t="s">
        <v>252</v>
      </c>
      <c r="J37" s="7" t="s">
        <v>42</v>
      </c>
      <c r="K37" s="7" t="s">
        <v>253</v>
      </c>
      <c r="L37" s="7" t="s">
        <v>25</v>
      </c>
      <c r="M37" s="8">
        <v>42726</v>
      </c>
      <c r="N37" s="10">
        <v>9.5</v>
      </c>
      <c r="O37" s="11">
        <v>22255</v>
      </c>
      <c r="P37" s="7" t="s">
        <v>26</v>
      </c>
    </row>
    <row r="38" spans="1:16" x14ac:dyDescent="0.3">
      <c r="A38" s="2" t="s">
        <v>254</v>
      </c>
      <c r="B38" s="2" t="s">
        <v>95</v>
      </c>
      <c r="C38" s="2" t="s">
        <v>255</v>
      </c>
      <c r="D38" s="2" t="s">
        <v>19</v>
      </c>
      <c r="E38" s="3">
        <v>38071</v>
      </c>
      <c r="F38" s="4">
        <v>22</v>
      </c>
      <c r="G38" s="2" t="s">
        <v>256</v>
      </c>
      <c r="H38" s="2" t="s">
        <v>257</v>
      </c>
      <c r="I38" s="2" t="s">
        <v>258</v>
      </c>
      <c r="J38" s="2" t="s">
        <v>66</v>
      </c>
      <c r="K38" s="2" t="s">
        <v>247</v>
      </c>
      <c r="L38" s="2" t="s">
        <v>25</v>
      </c>
      <c r="M38" s="3">
        <v>42597</v>
      </c>
      <c r="N38" s="5">
        <v>9.9</v>
      </c>
      <c r="O38" s="6">
        <v>30898</v>
      </c>
      <c r="P38" s="2" t="s">
        <v>26</v>
      </c>
    </row>
    <row r="39" spans="1:16" x14ac:dyDescent="0.3">
      <c r="A39" s="7" t="s">
        <v>259</v>
      </c>
      <c r="B39" s="7" t="s">
        <v>84</v>
      </c>
      <c r="C39" s="7" t="s">
        <v>260</v>
      </c>
      <c r="D39" s="7" t="s">
        <v>38</v>
      </c>
      <c r="E39" s="8">
        <v>30510</v>
      </c>
      <c r="F39" s="9">
        <v>42</v>
      </c>
      <c r="G39" s="7" t="s">
        <v>261</v>
      </c>
      <c r="H39" s="7" t="s">
        <v>262</v>
      </c>
      <c r="I39" s="7" t="s">
        <v>263</v>
      </c>
      <c r="J39" s="7" t="s">
        <v>112</v>
      </c>
      <c r="K39" s="7" t="s">
        <v>113</v>
      </c>
      <c r="L39" s="7" t="s">
        <v>25</v>
      </c>
      <c r="M39" s="8">
        <v>42385</v>
      </c>
      <c r="N39" s="10">
        <v>10.4</v>
      </c>
      <c r="O39" s="11">
        <v>49755</v>
      </c>
      <c r="P39" s="7" t="s">
        <v>26</v>
      </c>
    </row>
    <row r="40" spans="1:16" x14ac:dyDescent="0.3">
      <c r="A40" s="2" t="s">
        <v>264</v>
      </c>
      <c r="B40" s="2" t="s">
        <v>265</v>
      </c>
      <c r="C40" s="2" t="s">
        <v>266</v>
      </c>
      <c r="D40" s="2" t="s">
        <v>38</v>
      </c>
      <c r="E40" s="3">
        <v>30718</v>
      </c>
      <c r="F40" s="4">
        <v>42</v>
      </c>
      <c r="G40" s="2" t="s">
        <v>267</v>
      </c>
      <c r="H40" s="2" t="s">
        <v>268</v>
      </c>
      <c r="I40" s="2" t="s">
        <v>269</v>
      </c>
      <c r="J40" s="2" t="s">
        <v>81</v>
      </c>
      <c r="K40" s="2" t="s">
        <v>270</v>
      </c>
      <c r="L40" s="2" t="s">
        <v>25</v>
      </c>
      <c r="M40" s="3">
        <v>41749</v>
      </c>
      <c r="N40" s="5">
        <v>12.2</v>
      </c>
      <c r="O40" s="6">
        <v>79926</v>
      </c>
      <c r="P40" s="2" t="s">
        <v>26</v>
      </c>
    </row>
    <row r="41" spans="1:16" x14ac:dyDescent="0.3">
      <c r="A41" s="7" t="s">
        <v>271</v>
      </c>
      <c r="B41" s="7" t="s">
        <v>272</v>
      </c>
      <c r="C41" s="7" t="s">
        <v>273</v>
      </c>
      <c r="D41" s="7" t="s">
        <v>38</v>
      </c>
      <c r="E41" s="8">
        <v>37659</v>
      </c>
      <c r="F41" s="9">
        <v>23</v>
      </c>
      <c r="G41" s="7" t="s">
        <v>274</v>
      </c>
      <c r="H41" s="7" t="s">
        <v>275</v>
      </c>
      <c r="I41" s="7" t="s">
        <v>276</v>
      </c>
      <c r="J41" s="7" t="s">
        <v>66</v>
      </c>
      <c r="K41" s="7" t="s">
        <v>74</v>
      </c>
      <c r="L41" s="7" t="s">
        <v>25</v>
      </c>
      <c r="M41" s="8">
        <v>41547</v>
      </c>
      <c r="N41" s="10">
        <v>12.7</v>
      </c>
      <c r="O41" s="11">
        <v>74939</v>
      </c>
      <c r="P41" s="7" t="s">
        <v>119</v>
      </c>
    </row>
    <row r="42" spans="1:16" x14ac:dyDescent="0.3">
      <c r="A42" s="12" t="s">
        <v>277</v>
      </c>
      <c r="B42" s="12"/>
      <c r="C42" s="12"/>
      <c r="D42" s="12"/>
      <c r="E42" s="12"/>
      <c r="F42" s="13">
        <f>AVERAGE(F2:F41)</f>
        <v>37.725000000000001</v>
      </c>
      <c r="G42" s="12"/>
      <c r="H42" s="12"/>
      <c r="I42" s="12"/>
      <c r="J42" s="12"/>
      <c r="K42" s="12"/>
      <c r="L42" s="12"/>
      <c r="M42" s="12"/>
      <c r="N42" s="13">
        <f>AVERAGE(N2:N41)</f>
        <v>7.5774999999999979</v>
      </c>
      <c r="O42" s="14">
        <f>SUM(O2:O41)</f>
        <v>1823452</v>
      </c>
      <c r="P42" s="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baseColWidth="10" defaultColWidth="8.88671875" defaultRowHeight="14.4" x14ac:dyDescent="0.3"/>
  <cols>
    <col min="1" max="1" width="25" customWidth="1"/>
    <col min="2" max="2" width="14" customWidth="1"/>
    <col min="3" max="3" width="20" customWidth="1"/>
  </cols>
  <sheetData>
    <row r="1" spans="1:3" x14ac:dyDescent="0.3">
      <c r="A1" s="15" t="s">
        <v>9</v>
      </c>
      <c r="B1" s="15" t="s">
        <v>278</v>
      </c>
      <c r="C1" s="15" t="s">
        <v>279</v>
      </c>
    </row>
    <row r="2" spans="1:3" x14ac:dyDescent="0.3">
      <c r="A2" s="16" t="s">
        <v>23</v>
      </c>
      <c r="B2" s="16">
        <v>3</v>
      </c>
      <c r="C2" s="17">
        <v>54511</v>
      </c>
    </row>
    <row r="3" spans="1:3" x14ac:dyDescent="0.3">
      <c r="A3" s="18" t="s">
        <v>112</v>
      </c>
      <c r="B3" s="18">
        <v>5</v>
      </c>
      <c r="C3" s="19">
        <v>48513</v>
      </c>
    </row>
    <row r="4" spans="1:3" x14ac:dyDescent="0.3">
      <c r="A4" s="16" t="s">
        <v>81</v>
      </c>
      <c r="B4" s="16">
        <v>3</v>
      </c>
      <c r="C4" s="17">
        <v>48711</v>
      </c>
    </row>
    <row r="5" spans="1:3" x14ac:dyDescent="0.3">
      <c r="A5" s="18" t="s">
        <v>51</v>
      </c>
      <c r="B5" s="18">
        <v>5</v>
      </c>
      <c r="C5" s="19">
        <v>36588</v>
      </c>
    </row>
    <row r="6" spans="1:3" x14ac:dyDescent="0.3">
      <c r="A6" s="16" t="s">
        <v>33</v>
      </c>
      <c r="B6" s="16">
        <v>7</v>
      </c>
      <c r="C6" s="17">
        <v>40823</v>
      </c>
    </row>
    <row r="7" spans="1:3" x14ac:dyDescent="0.3">
      <c r="A7" s="18" t="s">
        <v>42</v>
      </c>
      <c r="B7" s="18">
        <v>5</v>
      </c>
      <c r="C7" s="19">
        <v>35398</v>
      </c>
    </row>
    <row r="8" spans="1:3" x14ac:dyDescent="0.3">
      <c r="A8" s="16" t="s">
        <v>153</v>
      </c>
      <c r="B8" s="16">
        <v>5</v>
      </c>
      <c r="C8" s="17">
        <v>56191</v>
      </c>
    </row>
    <row r="9" spans="1:3" x14ac:dyDescent="0.3">
      <c r="A9" s="18" t="s">
        <v>66</v>
      </c>
      <c r="B9" s="18">
        <v>7</v>
      </c>
      <c r="C9" s="19">
        <v>49225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</vt:lpstr>
      <vt:lpstr>Resumen por Depto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PEREZ</cp:lastModifiedBy>
  <dcterms:created xsi:type="dcterms:W3CDTF">2026-06-25T00:48:55Z</dcterms:created>
  <dcterms:modified xsi:type="dcterms:W3CDTF">2026-06-25T00:52:51Z</dcterms:modified>
</cp:coreProperties>
</file>